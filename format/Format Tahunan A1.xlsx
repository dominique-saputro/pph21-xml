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ominiquesaputro/Downloads/"/>
    </mc:Choice>
  </mc:AlternateContent>
  <xr:revisionPtr revIDLastSave="0" documentId="13_ncr:1_{3520E786-1A8B-E148-993D-68CEB46A5F2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E5" i="4"/>
  <c r="E4" i="4"/>
  <c r="E3" i="4"/>
  <c r="E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Dominique Saputro</author>
  </authors>
  <commentList>
    <comment ref="E1" authorId="0" shapeId="0" xr:uid="{69E2B388-0284-174E-BFC6-D14540065047}">
      <text>
        <r>
          <rPr>
            <b/>
            <sz val="10"/>
            <color rgb="FF000000"/>
            <rFont val="Tahoma"/>
            <family val="2"/>
          </rPr>
          <t>Dominique Saputro: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Gaji 12 Bulan TANPA Tunjangan PPh</t>
        </r>
      </text>
    </comment>
  </commentList>
</comments>
</file>

<file path=xl/sharedStrings.xml><?xml version="1.0" encoding="utf-8"?>
<sst xmlns="http://schemas.openxmlformats.org/spreadsheetml/2006/main" count="23" uniqueCount="22">
  <si>
    <t>Masa Pajak Awal</t>
  </si>
  <si>
    <t>Masa Pajak Akhir</t>
  </si>
  <si>
    <t>NPWP</t>
  </si>
  <si>
    <t>Status PTKP</t>
  </si>
  <si>
    <t>TK/0</t>
  </si>
  <si>
    <t>K/2</t>
  </si>
  <si>
    <t>3578012711010001</t>
  </si>
  <si>
    <t>K/0</t>
  </si>
  <si>
    <t>3524174210050001</t>
  </si>
  <si>
    <t>3578244707030001</t>
  </si>
  <si>
    <t>3578264511870001</t>
  </si>
  <si>
    <t>3578054609950001</t>
  </si>
  <si>
    <t>Iuran Pensiun atau Biaya THT/JHT (-)</t>
  </si>
  <si>
    <t>Zakat (-)</t>
  </si>
  <si>
    <t>Gaji (+)</t>
  </si>
  <si>
    <t>Tunjangan PPh (+)</t>
  </si>
  <si>
    <t>Tunjangan Lainnya / Lembur (+)</t>
  </si>
  <si>
    <t>Honorarium (+)</t>
  </si>
  <si>
    <t>Asuransi (+)</t>
  </si>
  <si>
    <t>Natura (+)</t>
  </si>
  <si>
    <t>Tantiem, Bonus, Gratifikasi, THR (+)</t>
  </si>
  <si>
    <t>TK/3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</si>
</sst>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&quot;Times New Roman&quot;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rgb="FFFFF2CC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9" fontId="3" fillId="2" borderId="0" xfId="0" applyNumberFormat="1" applyFont="1" applyFill="1"/>
    <xf numFmtId="0" fontId="3" fillId="2" borderId="0" xfId="0" applyFont="1" applyFill="1"/>
    <xf numFmtId="1" fontId="3" fillId="2" borderId="0" xfId="0" applyNumberFormat="1" applyFont="1" applyFill="1" applyAlignment="1">
      <alignment horizontal="right"/>
    </xf>
    <xf numFmtId="0" fontId="2" fillId="3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6"/>
  <sheetViews>
    <sheetView tabSelected="1" workbookViewId="0">
      <selection activeCell="C10" sqref="C10"/>
    </sheetView>
  </sheetViews>
  <sheetFormatPr baseColWidth="10" defaultColWidth="12.6640625" defaultRowHeight="15.75" customHeight="1"/>
  <cols>
    <col min="1" max="1" width="14.33203125" bestFit="1" customWidth="1"/>
    <col min="2" max="2" width="14.5" bestFit="1" customWidth="1"/>
    <col min="3" max="3" width="17.33203125" bestFit="1" customWidth="1"/>
    <col min="4" max="4" width="11.1640625" bestFit="1" customWidth="1"/>
    <col min="5" max="5" width="9.1640625" bestFit="1" customWidth="1"/>
    <col min="6" max="6" width="15.83203125" bestFit="1" customWidth="1"/>
    <col min="7" max="7" width="26.33203125" bestFit="1" customWidth="1"/>
    <col min="8" max="8" width="12.5" bestFit="1" customWidth="1"/>
    <col min="9" max="9" width="10.33203125" bestFit="1" customWidth="1"/>
    <col min="10" max="10" width="8.83203125" bestFit="1" customWidth="1"/>
    <col min="11" max="11" width="29.1640625" bestFit="1" customWidth="1"/>
    <col min="12" max="12" width="30.5" bestFit="1" customWidth="1"/>
    <col min="13" max="13" width="7.5" bestFit="1" customWidth="1"/>
  </cols>
  <sheetData>
    <row r="1" spans="1:13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14</v>
      </c>
      <c r="F1" s="7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12</v>
      </c>
      <c r="M1" s="1" t="s">
        <v>13</v>
      </c>
    </row>
    <row r="2" spans="1:13" ht="15.75" customHeight="1">
      <c r="A2" s="6">
        <v>1</v>
      </c>
      <c r="B2" s="6">
        <v>12</v>
      </c>
      <c r="C2" s="3" t="s">
        <v>6</v>
      </c>
      <c r="D2" s="4" t="s">
        <v>21</v>
      </c>
      <c r="E2" s="5">
        <f>11250000</f>
        <v>11250000</v>
      </c>
      <c r="F2" s="6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</row>
    <row r="3" spans="1:13" ht="15.75" customHeight="1">
      <c r="A3" s="6">
        <v>2</v>
      </c>
      <c r="B3" s="6">
        <v>12</v>
      </c>
      <c r="C3" s="3" t="s">
        <v>8</v>
      </c>
      <c r="D3" s="4" t="s">
        <v>4</v>
      </c>
      <c r="E3" s="5">
        <f>15000000</f>
        <v>15000000</v>
      </c>
      <c r="F3" s="6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 spans="1:13" ht="15.75" customHeight="1">
      <c r="A4" s="6">
        <v>1</v>
      </c>
      <c r="B4" s="6">
        <v>12</v>
      </c>
      <c r="C4" s="3" t="s">
        <v>9</v>
      </c>
      <c r="D4" s="4" t="s">
        <v>5</v>
      </c>
      <c r="E4" s="5">
        <f>21000000</f>
        <v>21000000</v>
      </c>
      <c r="F4" s="6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ht="15.75" customHeight="1">
      <c r="A5" s="6">
        <v>4</v>
      </c>
      <c r="B5" s="6">
        <v>12</v>
      </c>
      <c r="C5" s="3" t="s">
        <v>10</v>
      </c>
      <c r="D5" s="4" t="s">
        <v>4</v>
      </c>
      <c r="E5" s="5">
        <f>20000000</f>
        <v>20000000</v>
      </c>
      <c r="F5" s="6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ht="15.75" customHeight="1">
      <c r="A6" s="6">
        <v>1</v>
      </c>
      <c r="B6" s="6">
        <v>12</v>
      </c>
      <c r="C6" s="3" t="s">
        <v>11</v>
      </c>
      <c r="D6" s="4" t="s">
        <v>7</v>
      </c>
      <c r="E6" s="5">
        <f>18750000</f>
        <v>18750000</v>
      </c>
      <c r="F6" s="6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</sheetData>
  <dataValidations count="1">
    <dataValidation type="list" allowBlank="1" showErrorMessage="1" sqref="D2:D6" xr:uid="{00000000-0002-0000-0300-000000000000}">
      <formula1>"K/0,K/1,K/2,K/3,TK/0,TK/1,TK/2,TK/3"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Dominique Saputro</cp:lastModifiedBy>
  <dcterms:modified xsi:type="dcterms:W3CDTF">2026-10-02T08:01:07Z</dcterms:modified>
</cp:coreProperties>
</file>